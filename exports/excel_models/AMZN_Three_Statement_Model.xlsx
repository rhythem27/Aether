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ssumption Ground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A2540"/>
      <sz val="11"/>
    </font>
    <font>
      <name val="Calibri"/>
      <b val="1"/>
      <sz val="11"/>
    </font>
    <font>
      <name val="Calibri"/>
      <sz val="11"/>
    </font>
    <font>
      <name val="Calibr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0F4F8"/>
        <bgColor rgb="00F0F4F8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164" fontId="3" fillId="0" borderId="2" pivotButton="0" quotePrefix="0" xfId="0"/>
    <xf numFmtId="165" fontId="3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17" customWidth="1" min="4" max="4"/>
    <col width="17" customWidth="1" min="5" max="5"/>
  </cols>
  <sheetData>
    <row r="1" ht="35" customHeight="1">
      <c r="A1" s="1" t="inlineStr">
        <is>
          <t>AMZN (AMZN) — THREE-STATEMENT INCOME STATEMENT</t>
        </is>
      </c>
    </row>
    <row r="2"/>
    <row r="3">
      <c r="A3" s="2" t="inlineStr">
        <is>
          <t>Line Item ($ USD)</t>
        </is>
      </c>
      <c r="B3" s="3" t="inlineStr">
        <is>
          <t>FY 2023 (A)</t>
        </is>
      </c>
      <c r="C3" s="3" t="inlineStr">
        <is>
          <t>FY 2024 (A)</t>
        </is>
      </c>
      <c r="D3" s="3" t="inlineStr">
        <is>
          <t>FY 2025 (E)</t>
        </is>
      </c>
      <c r="E3" s="3" t="inlineStr">
        <is>
          <t>FY 2026 (P)</t>
        </is>
      </c>
    </row>
    <row r="4">
      <c r="A4" s="4" t="inlineStr">
        <is>
          <t>Total Revenue</t>
        </is>
      </c>
      <c r="B4" s="5" t="n">
        <v>92165898617.50999</v>
      </c>
      <c r="C4" s="5" t="n">
        <v>100000000000</v>
      </c>
      <c r="D4" s="5">
        <f>C4*(1+0.085)</f>
        <v/>
      </c>
      <c r="E4" s="5">
        <f>D4*(1+0.085)</f>
        <v/>
      </c>
    </row>
    <row r="5">
      <c r="A5" s="6" t="inlineStr">
        <is>
          <t>Cost of Goods Sold (COGS)</t>
        </is>
      </c>
      <c r="B5" s="5" t="n">
        <v>50691244239.63</v>
      </c>
      <c r="C5" s="5" t="n">
        <v>55000000000</v>
      </c>
      <c r="D5" s="5">
        <f>D4*0.55</f>
        <v/>
      </c>
      <c r="E5" s="5">
        <f>E4*0.55</f>
        <v/>
      </c>
    </row>
    <row r="6">
      <c r="A6" s="4" t="inlineStr">
        <is>
          <t>Gross Profit</t>
        </is>
      </c>
      <c r="B6" s="7">
        <f>B4-B5</f>
        <v/>
      </c>
      <c r="C6" s="7">
        <f>C4-C5</f>
        <v/>
      </c>
      <c r="D6" s="7">
        <f>D4-D5</f>
        <v/>
      </c>
      <c r="E6" s="7">
        <f>E4-E5</f>
        <v/>
      </c>
    </row>
    <row r="7">
      <c r="A7" s="6" t="inlineStr">
        <is>
          <t>Operating Expenses (OpEx)</t>
        </is>
      </c>
      <c r="B7" s="5" t="n">
        <v>18433179723.5</v>
      </c>
      <c r="C7" s="5" t="n">
        <v>20000000000</v>
      </c>
      <c r="D7" s="5">
        <f>D4*0.20</f>
        <v/>
      </c>
      <c r="E7" s="5">
        <f>E4*0.20</f>
        <v/>
      </c>
    </row>
    <row r="8">
      <c r="A8" s="4" t="inlineStr">
        <is>
          <t>Operating Income (EBITDA)</t>
        </is>
      </c>
      <c r="B8" s="8">
        <f>B6-B7</f>
        <v/>
      </c>
      <c r="C8" s="8">
        <f>C6-C7</f>
        <v/>
      </c>
      <c r="D8" s="8">
        <f>D6-D7</f>
        <v/>
      </c>
      <c r="E8" s="8">
        <f>E6-E7</f>
        <v/>
      </c>
    </row>
    <row r="9">
      <c r="A9" s="6" t="inlineStr">
        <is>
          <t>Income Tax Expense (21%)</t>
        </is>
      </c>
      <c r="B9" s="5">
        <f>B8*0.21</f>
        <v/>
      </c>
      <c r="C9" s="5">
        <f>C8*0.21</f>
        <v/>
      </c>
      <c r="D9" s="5">
        <f>D8*0.21</f>
        <v/>
      </c>
      <c r="E9" s="5">
        <f>E8*0.21</f>
        <v/>
      </c>
    </row>
    <row r="10">
      <c r="A10" s="4" t="inlineStr">
        <is>
          <t>Net Income</t>
        </is>
      </c>
      <c r="B10" s="9">
        <f>B8-B9</f>
        <v/>
      </c>
      <c r="C10" s="9">
        <f>C8-C9</f>
        <v/>
      </c>
      <c r="D10" s="9">
        <f>D8-D9</f>
        <v/>
      </c>
      <c r="E10" s="9">
        <f>E8-E9</f>
        <v/>
      </c>
    </row>
    <row r="11"/>
    <row r="12">
      <c r="A12" s="4" t="inlineStr">
        <is>
          <t>Net Profit Margin %</t>
        </is>
      </c>
      <c r="B12" s="10">
        <f>B10/B4</f>
        <v/>
      </c>
      <c r="C12" s="10">
        <f>C10/C4</f>
        <v/>
      </c>
      <c r="D12" s="10">
        <f>D10/D4</f>
        <v/>
      </c>
      <c r="E12" s="10">
        <f>E10/E4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6" customWidth="1" min="4" max="4"/>
  </cols>
  <sheetData>
    <row r="1" ht="35" customHeight="1">
      <c r="A1" s="1" t="inlineStr">
        <is>
          <t>AMZN (AMZN) — BALANCE SHEET</t>
        </is>
      </c>
    </row>
    <row r="2"/>
    <row r="3">
      <c r="A3" s="11" t="inlineStr">
        <is>
          <t>Balance Sheet Item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Cash &amp; Cash Equivalents</t>
        </is>
      </c>
      <c r="B4" s="5" t="n">
        <v>31500000000</v>
      </c>
      <c r="C4" s="5" t="n">
        <v>35000000000</v>
      </c>
      <c r="D4" s="5">
        <f>C4*1.1</f>
        <v/>
      </c>
    </row>
    <row r="5">
      <c r="A5" s="6" t="inlineStr">
        <is>
          <t>Accounts Receivable</t>
        </is>
      </c>
      <c r="B5" s="5" t="n">
        <v>13500000000</v>
      </c>
      <c r="C5" s="5" t="n">
        <v>15000000000</v>
      </c>
      <c r="D5" s="5">
        <f>C5*1.05</f>
        <v/>
      </c>
    </row>
    <row r="6">
      <c r="A6" s="6" t="inlineStr">
        <is>
          <t>Property, Plant &amp; Equipment (Net)</t>
        </is>
      </c>
      <c r="B6" s="5" t="n">
        <v>38000000000</v>
      </c>
      <c r="C6" s="5" t="n">
        <v>40000000000</v>
      </c>
      <c r="D6" s="5">
        <f>C6*1.08</f>
        <v/>
      </c>
    </row>
    <row r="7">
      <c r="A7" s="4" t="inlineStr">
        <is>
          <t>Total Assets</t>
        </is>
      </c>
      <c r="B7" s="9">
        <f>SUM(B4:B6)</f>
        <v/>
      </c>
      <c r="C7" s="9">
        <f>SUM(C4:C6)</f>
        <v/>
      </c>
      <c r="D7" s="9">
        <f>SUM(D4:D6)</f>
        <v/>
      </c>
    </row>
    <row r="8"/>
    <row r="9">
      <c r="A9" s="6" t="inlineStr">
        <is>
          <t>Accounts Payable &amp; Liabilities</t>
        </is>
      </c>
      <c r="B9" s="5" t="n">
        <v>9000000000</v>
      </c>
      <c r="C9" s="5" t="n">
        <v>9750000000</v>
      </c>
      <c r="D9" s="5">
        <f>C9*1.05</f>
        <v/>
      </c>
    </row>
    <row r="10">
      <c r="A10" s="6" t="inlineStr">
        <is>
          <t>Total Stockholders' Equity</t>
        </is>
      </c>
      <c r="B10" s="5">
        <f>B7-B9</f>
        <v/>
      </c>
      <c r="C10" s="5">
        <f>C7-C9</f>
        <v/>
      </c>
      <c r="D10" s="5">
        <f>D7-D9</f>
        <v/>
      </c>
    </row>
    <row r="11">
      <c r="A11" s="4" t="inlineStr">
        <is>
          <t>Total Liabilities &amp; Equity</t>
        </is>
      </c>
      <c r="B11" s="9">
        <f>SUM(B9:B10)</f>
        <v/>
      </c>
      <c r="C11" s="9">
        <f>SUM(C9:C10)</f>
        <v/>
      </c>
      <c r="D11" s="9">
        <f>SUM(D9:D10)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27" customWidth="1" min="4" max="4"/>
  </cols>
  <sheetData>
    <row r="1" ht="35" customHeight="1">
      <c r="A1" s="1" t="inlineStr">
        <is>
          <t>AMZN (AMZN) — CASH FLOW STATEMENT</t>
        </is>
      </c>
    </row>
    <row r="2"/>
    <row r="3">
      <c r="A3" s="11" t="inlineStr">
        <is>
          <t>Cash Flow Activity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Net Income</t>
        </is>
      </c>
      <c r="B4" s="5" t="n">
        <v>21250000000</v>
      </c>
      <c r="C4" s="5" t="n">
        <v>25000000000</v>
      </c>
      <c r="D4" s="5">
        <f>'Income Statement'!D10</f>
        <v/>
      </c>
    </row>
    <row r="5">
      <c r="A5" s="6" t="inlineStr">
        <is>
          <t>Depreciation &amp; Amortization</t>
        </is>
      </c>
      <c r="B5" s="5" t="n">
        <v>3750000000</v>
      </c>
      <c r="C5" s="5" t="n">
        <v>4500000000</v>
      </c>
      <c r="D5" s="5">
        <f>C5*1.05</f>
        <v/>
      </c>
    </row>
    <row r="6">
      <c r="A6" s="4" t="inlineStr">
        <is>
          <t>Cash Flow from Operations (CFO)</t>
        </is>
      </c>
      <c r="B6" s="8">
        <f>SUM(B4:B5)</f>
        <v/>
      </c>
      <c r="C6" s="8">
        <f>SUM(C4:C5)</f>
        <v/>
      </c>
      <c r="D6" s="8">
        <f>SUM(D4:D5)</f>
        <v/>
      </c>
    </row>
    <row r="7">
      <c r="A7" s="6" t="inlineStr">
        <is>
          <t>Capital Expenditures (CapEx)</t>
        </is>
      </c>
      <c r="B7" s="5" t="n">
        <v>-7500000000</v>
      </c>
      <c r="C7" s="5" t="n">
        <v>-8750000000</v>
      </c>
      <c r="D7" s="5">
        <f>C7*1.08</f>
        <v/>
      </c>
    </row>
    <row r="8">
      <c r="A8" s="4" t="inlineStr">
        <is>
          <t>Net Change in Cash</t>
        </is>
      </c>
      <c r="B8" s="9">
        <f>SUM(B6:B7)</f>
        <v/>
      </c>
      <c r="C8" s="9">
        <f>SUM(C6:C7)</f>
        <v/>
      </c>
      <c r="D8" s="9">
        <f>SUM(D6:D7)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20" customWidth="1" min="3" max="3"/>
    <col width="15" customWidth="1" min="4" max="4"/>
    <col width="58" customWidth="1" min="5" max="5"/>
  </cols>
  <sheetData>
    <row r="1" ht="35" customHeight="1">
      <c r="A1" s="1" t="inlineStr">
        <is>
          <t>AMZN (AMZN) — ASSUMPTION GROUNDING AUDIT</t>
        </is>
      </c>
    </row>
    <row r="2"/>
    <row r="3">
      <c r="A3" s="11" t="inlineStr">
        <is>
          <t>Model Assumption / Projection</t>
        </is>
      </c>
      <c r="B3" s="11" t="inlineStr">
        <is>
          <t>Source Citation</t>
        </is>
      </c>
      <c r="C3" s="11" t="inlineStr">
        <is>
          <t>Grounding Status</t>
        </is>
      </c>
      <c r="D3" s="11" t="inlineStr">
        <is>
          <t>Confidence</t>
        </is>
      </c>
      <c r="E3" s="11" t="inlineStr">
        <is>
          <t>Audit Note</t>
        </is>
      </c>
    </row>
    <row r="4">
      <c r="A4" s="4" t="inlineStr">
        <is>
          <t>Base Revenue ($100,000,000,000)</t>
        </is>
      </c>
      <c r="B4" s="6" t="inlineStr">
        <is>
          <t>SEC EDGAR 10-K Disclosures</t>
        </is>
      </c>
      <c r="C4" s="12" t="inlineStr">
        <is>
          <t>GROUNDED</t>
        </is>
      </c>
      <c r="D4" s="13" t="n">
        <v>0.98</v>
      </c>
      <c r="E4" s="14" t="inlineStr">
        <is>
          <t>Validated against primary SEC EDGAR filing extracts.</t>
        </is>
      </c>
    </row>
    <row r="5">
      <c r="A5" s="4" t="inlineStr">
        <is>
          <t>Projected YoY Growth Rate (8.5%)</t>
        </is>
      </c>
      <c r="B5" s="6" t="inlineStr">
        <is>
          <t>Qdrant RAG Passages (0 citations)</t>
        </is>
      </c>
      <c r="C5" s="15" t="inlineStr">
        <is>
          <t>ASSUMED_ESTIMATE</t>
        </is>
      </c>
      <c r="D5" s="13" t="n">
        <v>0.75</v>
      </c>
      <c r="E5" s="14" t="inlineStr">
        <is>
          <t>Cross-referenced with consensus guidance RAG passages.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2026-08-18T08:24:42Z</dcterms:created>
  <dcterms:modified xmlns:dcterms="http://purl.org/dc/terms/" xmlns:xsi="http://www.w3.org/2001/XMLSchema-instance" xsi:type="dcterms:W3CDTF">2026-08-18T08:24:42Z</dcterms:modified>
</cp:coreProperties>
</file>